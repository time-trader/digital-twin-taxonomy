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<sst xmlns="http://schemas.openxmlformats.org/spreadsheetml/2006/main" count="191" uniqueCount="144">
  <si>
    <t>ConceptScheme URI</t>
  </si>
  <si>
    <t>PREFIX</t>
  </si>
  <si>
    <t>ditta</t>
  </si>
  <si>
    <t>https://www.w3id.org/ontoforge/digital-twin-taxonomy/</t>
  </si>
  <si>
    <t>dct</t>
  </si>
  <si>
    <t>http://purl.org/dc/terms/</t>
  </si>
  <si>
    <t>owl</t>
  </si>
  <si>
    <t>skos:prefLabel</t>
  </si>
  <si>
    <t>Digital Twin Taxonomy</t>
  </si>
  <si>
    <t>dct:title</t>
  </si>
  <si>
    <t>dct:description</t>
  </si>
  <si>
    <t>A taxonomical organization of digital twin system concepts and digital twin types</t>
  </si>
  <si>
    <t>dct:creator</t>
  </si>
  <si>
    <t>https://orcid.org/0000-0002-6570-6966</t>
  </si>
  <si>
    <t>dct:publisher</t>
  </si>
  <si>
    <t>OST - Ostschweizer Fachhochschule</t>
  </si>
  <si>
    <t>dct:contributor</t>
  </si>
  <si>
    <t>dct:license</t>
  </si>
  <si>
    <t>http://creativecommons.org/licenses/by/4.0/</t>
  </si>
  <si>
    <t>owl:versionInfo</t>
  </si>
  <si>
    <t>0.0.5</t>
  </si>
  <si>
    <t>dct:hasVersion</t>
  </si>
  <si>
    <t>Identifier</t>
  </si>
  <si>
    <t>skos:definition@en</t>
  </si>
  <si>
    <t>skos:altLabel(separator=",")</t>
  </si>
  <si>
    <t>skos:broader(separator=",")</t>
  </si>
  <si>
    <t>skos:exactMatch(separator=",")</t>
  </si>
  <si>
    <t>skos:closeMatch(separator=",")</t>
  </si>
  <si>
    <t>skos:related(separator=",")</t>
  </si>
  <si>
    <t>dct:creator(separator=",")</t>
  </si>
  <si>
    <t>dct:contributor(separator=",")</t>
  </si>
  <si>
    <t>dct:bibliographicCitation(separator=",")</t>
  </si>
  <si>
    <t>dct:references(separator=",")</t>
  </si>
  <si>
    <t>skos:editorialNote@en</t>
  </si>
  <si>
    <t>skos:note@en</t>
  </si>
  <si>
    <t>Digital Twin Conceptual Model</t>
  </si>
  <si>
    <t xml:space="preserve">The Digital Twin Model is a conceptual model that consists of three main elements: an actual or intended physical element that currently exists or will exist in the physical world (the “Physical Twin”), the virtual or digital counterpart that exists in the virtual or digital world (“the Digital Twin”), and the communication channel of data and information between these two elements (the “Digital Thread”). It is based on two fundamental principles: "duality" (Physical and Digital) and "strong similiratiy" (communication channel between the two).  </t>
  </si>
  <si>
    <t>Digital Twin Model</t>
  </si>
  <si>
    <t>https://orcid.org/0000-0003-0322-343X</t>
  </si>
  <si>
    <t>https://doi.org/10.12688/digitaltwin.17574.1</t>
  </si>
  <si>
    <t>Digital Twin Type</t>
  </si>
  <si>
    <t>Physical System</t>
  </si>
  <si>
    <t>Physical Twin, Physical Entity, Physical Asset</t>
  </si>
  <si>
    <t>Digital System</t>
  </si>
  <si>
    <t>Digtial Twin</t>
  </si>
  <si>
    <t>Connection System</t>
  </si>
  <si>
    <t>Digital Thread</t>
  </si>
  <si>
    <t>Model System</t>
  </si>
  <si>
    <t>Virtual Entity</t>
  </si>
  <si>
    <t>https://orcid.org/0000-0002-9020-0633</t>
  </si>
  <si>
    <t>https://doi.org/10.1016/B978-0-12-817630-6.00003-5</t>
  </si>
  <si>
    <t>Tao et al. (2019) refer to this concept as Virtual Entity and consider this system to be on the same hierarchical level as physical system and connection system.</t>
  </si>
  <si>
    <t>Service System</t>
  </si>
  <si>
    <t>Tao et al. (2019) consider this system to be on the same hierarchical level as physical system and connection system.</t>
  </si>
  <si>
    <t>Data System</t>
  </si>
  <si>
    <t>Geometry Model</t>
  </si>
  <si>
    <t>Physics Model</t>
  </si>
  <si>
    <t>Behaviour Model</t>
  </si>
  <si>
    <t>Rule Model</t>
  </si>
  <si>
    <t>System Functionality</t>
  </si>
  <si>
    <t>Classification based on Digital Twin System functional capability</t>
  </si>
  <si>
    <t>Supervisory Digital Twin</t>
  </si>
  <si>
    <t>Operational Digital Twin</t>
  </si>
  <si>
    <t>https://orcid.org/0000-0002-7266-2105</t>
  </si>
  <si>
    <t>https://doi.org/10.1115/1.4046739</t>
  </si>
  <si>
    <t>Simulation - Prediction Digital Twin</t>
  </si>
  <si>
    <t>Intelligent - Learning Digital Twin</t>
  </si>
  <si>
    <t>Data-Driven Digital Twin</t>
  </si>
  <si>
    <t>Autonomous Digital Twin</t>
  </si>
  <si>
    <t>Cognitive Digital Twin</t>
  </si>
  <si>
    <t>DTs with augmented semantic capabilities for identifying the dynamics of virtual model evolution, promoting the understanding of interrelationships between virtual models and enhancing the decision-making</t>
  </si>
  <si>
    <t>https://orcid.org/0000-0001-5044-2921,https://orcid.org/0000-0003-3660-9187</t>
  </si>
  <si>
    <t>https://doi.org/10.1080/00207543.2021.2014591</t>
  </si>
  <si>
    <t>https://doi.org/10.1007/978-3-030-19651-6_3</t>
  </si>
  <si>
    <t>L1 Descriptive Digital Twin</t>
  </si>
  <si>
    <t>An L1 Digital Twin focuses on describing the physical system and includes content ranging from the initial business case analysis and product requirements to the detailed engineering design and 3D visualizations. The intent of an L1 Digital Twin is to describe the structure so that the user can understand the components and the relationship between those components that make up the physical system.</t>
  </si>
  <si>
    <t>L2 Informative Digital Twin</t>
  </si>
  <si>
    <t xml:space="preserve">An L2 Digital Twin focuses on describing the state of a physical system by connecting to data streams from the physical system (either directly or via intermediary data storage systems) so that a user can visualize what is presently happening with the system. </t>
  </si>
  <si>
    <t>L3 Predictive Digital Twin</t>
  </si>
  <si>
    <t xml:space="preserve">An L3 Digital Twin focuses on modeling the behavior of the physical system to make predictions of unmeasured quantities or future states under continued operations with the assumption that future behavior is the same as the past. </t>
  </si>
  <si>
    <t>L4 Living Digital Twin</t>
  </si>
  <si>
    <t>An L4 Living Digital Twin focuses on modeling the behavior of the physical system as it changes over time by using real-world data to update the model parameters.</t>
  </si>
  <si>
    <t>ditta:0-StandaloneDigitalTwin</t>
  </si>
  <si>
    <t>Standalone Digital Twin</t>
  </si>
  <si>
    <t>A standalone DT is defined as a DT even before the physical asset comes into existence. The value of a standalone DT, in addition to being used for design purposes, is that it can be used for a preliminary cost-benefit analysis of the asset before it is built.</t>
  </si>
  <si>
    <t>https://orcid.org/0009-0003-5155-0870</t>
  </si>
  <si>
    <t>https://doi.org/10.1109/ACCESS.2023.3321320</t>
  </si>
  <si>
    <t>ditta:1-DescriptiveDigitalTwin</t>
  </si>
  <si>
    <t>Descriptive Digital Twin</t>
  </si>
  <si>
    <t>When geometric computer-aided design (CAD) models are in place and a live sensor data stream is established, it can be referred to as the descriptive DT, which can provide insight into the inner workings of the asset at the required granularity. A descriptive DT mirrors the physical asset’s current state and can be easily explored remotely.</t>
  </si>
  <si>
    <t>ditta:2-DiagnosticDigitalTwin</t>
  </si>
  <si>
    <t>Diagnostic Digital Twin</t>
  </si>
  <si>
    <t>At a capability level of 2, data analysis tools are applied to the data for sanity-checks of sensors and data, condition monitoring and fault diagnosis. The DT is referred to as the diagnostic DT.</t>
  </si>
  <si>
    <t>ditta:3-PredictiveDigitalTwin</t>
  </si>
  <si>
    <t>Predictive Digital Twin</t>
  </si>
  <si>
    <t>Predictive DT, as the name suggests, starts exploiting models to project the current and past states into the future. The prediction is continuously updated based on the real-time data stream from the physical asset. With the constant update of the asset state, there is no risk of diverging too far from the physical asset over time.</t>
  </si>
  <si>
    <t>ditta:4-PrescriptiveDigitalTwin</t>
  </si>
  <si>
    <t>Prescriptive Digital Twin</t>
  </si>
  <si>
    <t>Prescriptive DTs [...] can make recommendations based on what-if? / risk assessment and uncertainty quantification. This aspect is highly desirable for decision support systems, providing recommendations to experts who then decide how to act upon them.</t>
  </si>
  <si>
    <t>ditta:5-AutonomousDigitalTwin</t>
  </si>
  <si>
    <t>The DT and the digital asset start bidirectional communication where the physical asset updates its DT in real-time, and in return, the DT controls the asset to push it towards an optimal set point. Decisions can be made on much shorter timescales than with human involvement. This autonomous DT represents the fifth level.</t>
  </si>
  <si>
    <t>Intelligent Digital Twin</t>
  </si>
  <si>
    <t>The Intelligent Digital Twin is active, online, goal seeking, and anticipatory.</t>
  </si>
  <si>
    <t>Connection System Automation</t>
  </si>
  <si>
    <t>Classification based on Connection System automation levels</t>
  </si>
  <si>
    <t>Sub-systems Levels of Integration</t>
  </si>
  <si>
    <t>Manually Coupled Digital Twin</t>
  </si>
  <si>
    <t>A Manually Coupled Digital Twin is a digital representation of an existing or planned physical object that does not use any form of automated data exchange between the physical object and the digital objet. The data exchange is done in a manual way.</t>
  </si>
  <si>
    <t>Digital Model</t>
  </si>
  <si>
    <t>https://www.scopus.com/authid/detail.uri?authorId=57202854785</t>
  </si>
  <si>
    <t>https://doi.org/10.1016/j.ifacol.2018.08.474</t>
  </si>
  <si>
    <t xml:space="preserve">Kritzinger et al.(2018) refers to this type as a Digital Model, which is ambiguous. </t>
  </si>
  <si>
    <t>Digital Shadow</t>
  </si>
  <si>
    <t xml:space="preserve">A Digital Shadow is a digital representation of an existing or planned physical object with an automated one-way data flow between a physical object and a digital object. </t>
  </si>
  <si>
    <t>One-way Coupled Digital Twin</t>
  </si>
  <si>
    <t>As opposed to Kritzinger et al.(2018), this definition does not state that the physical object should exist. See: Grieves, M.: Intelligent digital twins and the development and management of complex systems, 2022.</t>
  </si>
  <si>
    <t>Fully Coupled Digital Twin</t>
  </si>
  <si>
    <t xml:space="preserve">In cases when the data flows between a physical object and a digital object are fully integrated in both directions, one might refer to it as Fully Coupled Digital Twin. In such a combination, the digital object might also act as controlling instance of the physical object. </t>
  </si>
  <si>
    <t>Digital Twin</t>
  </si>
  <si>
    <t>Kritzinger et al.(2018) refers to this type simply as a Digital Twin. However, a lower level of sub-systems integration do not preclude a system from being considered as a Digital Twin. See: Grieves, M.: Intelligent digital twins and the development and management of complex systems, 2022.</t>
  </si>
  <si>
    <t>Model Fidelity</t>
  </si>
  <si>
    <t>Low Fidelity Digital Twin</t>
  </si>
  <si>
    <t>A Low Fidelity Digital Twin is a Digital Twin whose Model System uses a high level of abstraction (e.g. coarse geometry and/or simplified behavior), representing a limited subset of parameters/states with approximate relationships. It is typically intended for qualitative insight, basic monitoring, visualization, early development/testing, or decision support where directionally-correct behavior is sufficient.</t>
  </si>
  <si>
    <t>What counts as “low” depends on the domain and decision being supported (e.g., dashboarding vs safety-critical prediction). “Fidelity” is commonly framed in terms of parameter coverage, accuracy, and abstraction level.</t>
  </si>
  <si>
    <t>Medium Fidelity Digital Twin</t>
  </si>
  <si>
    <t>A Medium Fidelity Digital Twin is a Digital Twin whose Model System captures the dominant structure and behaviors needed for the target decisions, using a moderate number of parameters and moderate resolution. It often combines first-principles or reduced-order models with operational data to achieve usable quantitative accuracy within a defined operating envelope, while keeping computational and data requirements manageable.</t>
  </si>
  <si>
    <t>“Medium” is not universally standardized. It is best treated as the middle band between low and high where added realism produces decision value, but exhaustive detail is not justified (cost/latency/maintainability).</t>
  </si>
  <si>
    <t>High Fidelity Digital Twin</t>
  </si>
  <si>
    <t xml:space="preserve">A High Fidelity Digital Twin is a Digital Twin whose Models System captures Physical System’s relevant charachtersitcs and behavior with high precision, using detailed parameterization, high-resolution state representation, and often multi-physics and probabilistic modeling. It is typically calibrated/validated against observations and supports quantitative prediction, optimization, and, in some contexts, closed-loop decision support.
</t>
  </si>
  <si>
    <t>“High” should be defined relative to required accuracy, risk, and operating envelope; standards emphasize fit-for-purpose rather than “max fidelity always.”
An example of canonical high-fidelity framing in aerospace domain proposed by E. H. Glaessgen &amp; D. S. Stargel (NASA)  describes a High Fidelity Digital Twin as an integrated multiphysics, multiscale, probabilistic simulation using best available models and sensor updates to mirror the life of its physical counterpart, which is explicitly “ultra-realistic.”</t>
  </si>
  <si>
    <t>Multi-Fidelity Digital Twin</t>
  </si>
  <si>
    <t>A Multi-Fidelity Digital Twin is a Digital Twin whose Model System employs two or more linked models (or model components) at different fidelity levels such that the twin can switch between, combine, or adaptively refine fidelity to meet the needs of specific decisions under constraints like accuracy, latency, and computational/data cost.</t>
  </si>
  <si>
    <t>Physical System Lifetime Stage</t>
  </si>
  <si>
    <t>Digital Twin Prototype</t>
  </si>
  <si>
    <t>Digital Twin Prototype, the prototypical product with variants or all the products that can be built. This type of Digital Twin describes the prototypical physical artifact. It contains the informational sets necessary to describe and produce a physical version that duplicates or twins the virtual version.</t>
  </si>
  <si>
    <t>https://doi.org/10.1007/978-3-319-38756-7_4</t>
  </si>
  <si>
    <t>Digital Twin Instance</t>
  </si>
  <si>
    <t xml:space="preserve">Digital Twin Instance, the individual products themselves or all the products that are built. This type of Digital Twin describes a specific corresponding physical product that an individual Digital Twin remains linked to throughout the life of that physical product. </t>
  </si>
  <si>
    <t>Digital Twin Aggregate</t>
  </si>
  <si>
    <t>Digital Twin Aggregate, the aggregation of all the DTIs or all the products that have been built.</t>
  </si>
  <si>
    <t>Conceptual Model Dimensionality</t>
  </si>
  <si>
    <t>Three-dimensional Digital Twin</t>
  </si>
  <si>
    <t>Five-dimensional Digital Twin</t>
  </si>
  <si>
    <t>A five-dimensional digital twin destinguishes between models, data, and service concepts instead of a single term for a digital representation in the Digital Twin Conceptual Model.</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</si>
</sst>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b/>
      <color theme="1"/>
      <name val="Arial"/>
    </font>
    <font>
      <u/>
      <color rgb="FF0000FF"/>
      <name val="Arial"/>
    </font>
    <font>
      <color theme="1"/>
      <name val="Arial"/>
    </font>
    <font>
      <u/>
      <color rgb="FF0000FF"/>
      <name val="Arial"/>
    </font>
    <font>
      <u/>
      <color rgb="FF1155CC"/>
      <name val="Helvetica"/>
    </font>
    <font>
      <color theme="1"/>
      <name val="Helvetica"/>
    </font>
    <font>
      <u/>
      <color rgb="FF0000FF"/>
      <name val="Helvetica"/>
    </font>
    <font>
      <u/>
      <color rgb="FF0000FF"/>
      <name val="Arial"/>
    </font>
    <font>
      <color theme="1"/>
      <name val="Arial"/>
      <scheme val="minor"/>
    </font>
    <font>
      <u/>
      <color rgb="FF0000FF"/>
    </font>
    <font>
      <u/>
      <color rgb="FF0000FF"/>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21">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readingOrder="0" shrinkToFit="0" vertical="bottom" wrapText="1"/>
    </xf>
    <xf borderId="0" fillId="0" fontId="3" numFmtId="0" xfId="0" applyAlignment="1" applyFont="1">
      <alignment vertical="bottom"/>
    </xf>
    <xf borderId="0" fillId="0" fontId="3" numFmtId="0" xfId="0" applyAlignment="1" applyFont="1">
      <alignment readingOrder="0" vertical="bottom"/>
    </xf>
    <xf borderId="0" fillId="0" fontId="4" numFmtId="0" xfId="0" applyAlignment="1" applyFont="1">
      <alignment shrinkToFit="0" vertical="bottom" wrapText="1"/>
    </xf>
    <xf borderId="0" fillId="0" fontId="3" numFmtId="0" xfId="0" applyAlignment="1" applyFont="1">
      <alignment readingOrder="0" shrinkToFit="0" vertical="bottom" wrapText="1"/>
    </xf>
    <xf borderId="0" fillId="0" fontId="5" numFmtId="0" xfId="0" applyAlignment="1" applyFont="1">
      <alignment vertical="bottom"/>
    </xf>
    <xf borderId="0" fillId="0" fontId="1" numFmtId="0" xfId="0" applyAlignment="1" applyFont="1">
      <alignment readingOrder="0" vertical="bottom"/>
    </xf>
    <xf borderId="0" fillId="0" fontId="6" numFmtId="0" xfId="0" applyAlignment="1" applyFont="1">
      <alignment readingOrder="0" vertical="bottom"/>
    </xf>
    <xf borderId="0" fillId="0" fontId="7" numFmtId="0" xfId="0" applyAlignment="1" applyFont="1">
      <alignment readingOrder="0" vertical="bottom"/>
    </xf>
    <xf borderId="0" fillId="0" fontId="8" numFmtId="0" xfId="0" applyAlignment="1" applyFont="1">
      <alignment readingOrder="0" vertical="bottom"/>
    </xf>
    <xf borderId="0" fillId="0" fontId="1" numFmtId="0" xfId="0" applyAlignment="1" applyFont="1">
      <alignment shrinkToFit="0" vertical="bottom" wrapText="1"/>
    </xf>
    <xf borderId="0" fillId="0" fontId="9" numFmtId="0" xfId="0" applyFont="1"/>
    <xf borderId="0" fillId="0" fontId="9" numFmtId="0" xfId="0" applyAlignment="1" applyFont="1">
      <alignment readingOrder="0"/>
    </xf>
    <xf borderId="0" fillId="0" fontId="9" numFmtId="0" xfId="0" applyAlignment="1" applyFont="1">
      <alignment readingOrder="0" shrinkToFit="0" wrapText="1"/>
    </xf>
    <xf borderId="0" fillId="0" fontId="10" numFmtId="0" xfId="0" applyAlignment="1" applyFont="1">
      <alignment readingOrder="0"/>
    </xf>
    <xf borderId="0" fillId="0" fontId="11" numFmtId="0" xfId="0" applyAlignment="1" applyFont="1">
      <alignment readingOrder="0"/>
    </xf>
    <xf borderId="0" fillId="0" fontId="9" numFmtId="0" xfId="0" applyAlignment="1" applyFont="1">
      <alignment readingOrder="0"/>
    </xf>
    <xf borderId="0" fillId="0" fontId="12" numFmtId="0" xfId="0" applyFont="1"/>
    <xf borderId="0" fillId="0" fontId="9" numFmtId="0" xfId="0" applyAlignment="1" applyFont="1">
      <alignment readingOrder="0"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oi.org/10.12688/digitaltwin.17574.1" TargetMode="External"/><Relationship Id="rId42" Type="http://schemas.openxmlformats.org/officeDocument/2006/relationships/hyperlink" Target="https://orcid.org/0000-0002-6570-6966" TargetMode="External"/><Relationship Id="rId41" Type="http://schemas.openxmlformats.org/officeDocument/2006/relationships/hyperlink" Target="https://www.scopus.com/authid/detail.uri?authorId=57202854785" TargetMode="External"/><Relationship Id="rId44" Type="http://schemas.openxmlformats.org/officeDocument/2006/relationships/hyperlink" Target="https://www.scopus.com/authid/detail.uri?authorId=57202854785" TargetMode="External"/><Relationship Id="rId43" Type="http://schemas.openxmlformats.org/officeDocument/2006/relationships/hyperlink" Target="https://doi.org/10.1016/j.ifacol.2018.08.474" TargetMode="External"/><Relationship Id="rId46" Type="http://schemas.openxmlformats.org/officeDocument/2006/relationships/hyperlink" Target="https://doi.org/10.1016/j.ifacol.2018.08.474" TargetMode="External"/><Relationship Id="rId45" Type="http://schemas.openxmlformats.org/officeDocument/2006/relationships/hyperlink" Target="https://orcid.org/0000-0002-6570-6966" TargetMode="External"/><Relationship Id="rId1" Type="http://schemas.openxmlformats.org/officeDocument/2006/relationships/hyperlink" Target="https://www.ieawindtask43.org/ontoforge/taxonomy-wt-components" TargetMode="External"/><Relationship Id="rId2" Type="http://schemas.openxmlformats.org/officeDocument/2006/relationships/hyperlink" Target="http://purl.org/dc/terms/" TargetMode="External"/><Relationship Id="rId3" Type="http://schemas.openxmlformats.org/officeDocument/2006/relationships/hyperlink" Target="https://orcid.org/0000-0002-6570-6966" TargetMode="External"/><Relationship Id="rId4" Type="http://schemas.openxmlformats.org/officeDocument/2006/relationships/hyperlink" Target="https://orcid.org/0000-0002-6570-6966" TargetMode="External"/><Relationship Id="rId9" Type="http://schemas.openxmlformats.org/officeDocument/2006/relationships/hyperlink" Target="https://orcid.org/0000-0003-0322-343X" TargetMode="External"/><Relationship Id="rId48" Type="http://schemas.openxmlformats.org/officeDocument/2006/relationships/hyperlink" Target="https://www.scopus.com/authid/detail.uri?authorId=57202854785" TargetMode="External"/><Relationship Id="rId47" Type="http://schemas.openxmlformats.org/officeDocument/2006/relationships/hyperlink" Target="https://doi.org/10.12688/digitaltwin.17574.1" TargetMode="External"/><Relationship Id="rId49" Type="http://schemas.openxmlformats.org/officeDocument/2006/relationships/hyperlink" Target="https://orcid.org/0000-0002-6570-6966" TargetMode="External"/><Relationship Id="rId5" Type="http://schemas.openxmlformats.org/officeDocument/2006/relationships/hyperlink" Target="http://creativecommons.org/licenses/by/4.0/" TargetMode="External"/><Relationship Id="rId6" Type="http://schemas.openxmlformats.org/officeDocument/2006/relationships/hyperlink" Target="https://orcid.org/0000-0003-0322-343X" TargetMode="External"/><Relationship Id="rId7" Type="http://schemas.openxmlformats.org/officeDocument/2006/relationships/hyperlink" Target="https://doi.org/10.12688/digitaltwin.17574.1" TargetMode="External"/><Relationship Id="rId8" Type="http://schemas.openxmlformats.org/officeDocument/2006/relationships/hyperlink" Target="https://orcid.org/0000-0002-6570-6966" TargetMode="External"/><Relationship Id="rId31" Type="http://schemas.openxmlformats.org/officeDocument/2006/relationships/hyperlink" Target="https://doi.org/10.1115/1.4046739" TargetMode="External"/><Relationship Id="rId30" Type="http://schemas.openxmlformats.org/officeDocument/2006/relationships/hyperlink" Target="https://orcid.org/0000-0002-7266-2105" TargetMode="External"/><Relationship Id="rId33" Type="http://schemas.openxmlformats.org/officeDocument/2006/relationships/hyperlink" Target="https://doi.org/10.1115/1.4046739" TargetMode="External"/><Relationship Id="rId32" Type="http://schemas.openxmlformats.org/officeDocument/2006/relationships/hyperlink" Target="https://orcid.org/0000-0002-7266-2105" TargetMode="External"/><Relationship Id="rId35" Type="http://schemas.openxmlformats.org/officeDocument/2006/relationships/hyperlink" Target="https://doi.org/10.1080/00207543.2021.2014591" TargetMode="External"/><Relationship Id="rId34" Type="http://schemas.openxmlformats.org/officeDocument/2006/relationships/hyperlink" Target="https://orcid.org/0000-0001-5044-2921,https://orcid.org/0000-0003-3660-9187" TargetMode="External"/><Relationship Id="rId37" Type="http://schemas.openxmlformats.org/officeDocument/2006/relationships/hyperlink" Target="https://orcid.org/0009-0003-5155-0870" TargetMode="External"/><Relationship Id="rId36" Type="http://schemas.openxmlformats.org/officeDocument/2006/relationships/hyperlink" Target="https://doi.org/10.1007/978-3-030-19651-6_3" TargetMode="External"/><Relationship Id="rId39" Type="http://schemas.openxmlformats.org/officeDocument/2006/relationships/hyperlink" Target="https://orcid.org/0000-0003-0322-343X" TargetMode="External"/><Relationship Id="rId38" Type="http://schemas.openxmlformats.org/officeDocument/2006/relationships/hyperlink" Target="https://doi.org/10.1109/ACCESS.2023.3321320" TargetMode="External"/><Relationship Id="rId20" Type="http://schemas.openxmlformats.org/officeDocument/2006/relationships/hyperlink" Target="https://orcid.org/0000-0002-9020-0633" TargetMode="External"/><Relationship Id="rId22" Type="http://schemas.openxmlformats.org/officeDocument/2006/relationships/hyperlink" Target="https://orcid.org/0000-0002-9020-0633" TargetMode="External"/><Relationship Id="rId21" Type="http://schemas.openxmlformats.org/officeDocument/2006/relationships/hyperlink" Target="https://doi.org/10.1016/B978-0-12-817630-6.00003-5" TargetMode="External"/><Relationship Id="rId24" Type="http://schemas.openxmlformats.org/officeDocument/2006/relationships/hyperlink" Target="https://orcid.org/0000-0002-9020-0633" TargetMode="External"/><Relationship Id="rId23" Type="http://schemas.openxmlformats.org/officeDocument/2006/relationships/hyperlink" Target="https://doi.org/10.1016/B978-0-12-817630-6.00003-5" TargetMode="External"/><Relationship Id="rId60" Type="http://schemas.openxmlformats.org/officeDocument/2006/relationships/drawing" Target="../drawings/drawing1.xml"/><Relationship Id="rId26" Type="http://schemas.openxmlformats.org/officeDocument/2006/relationships/hyperlink" Target="https://orcid.org/0000-0002-7266-2105" TargetMode="External"/><Relationship Id="rId25" Type="http://schemas.openxmlformats.org/officeDocument/2006/relationships/hyperlink" Target="https://doi.org/10.1016/B978-0-12-817630-6.00003-5" TargetMode="External"/><Relationship Id="rId28" Type="http://schemas.openxmlformats.org/officeDocument/2006/relationships/hyperlink" Target="https://orcid.org/0000-0002-7266-2105" TargetMode="External"/><Relationship Id="rId27" Type="http://schemas.openxmlformats.org/officeDocument/2006/relationships/hyperlink" Target="https://doi.org/10.1115/1.4046739" TargetMode="External"/><Relationship Id="rId29" Type="http://schemas.openxmlformats.org/officeDocument/2006/relationships/hyperlink" Target="https://doi.org/10.1115/1.4046739" TargetMode="External"/><Relationship Id="rId51" Type="http://schemas.openxmlformats.org/officeDocument/2006/relationships/hyperlink" Target="https://doi.org/10.12688/digitaltwin.17574.1" TargetMode="External"/><Relationship Id="rId50" Type="http://schemas.openxmlformats.org/officeDocument/2006/relationships/hyperlink" Target="https://doi.org/10.1016/j.ifacol.2018.08.474" TargetMode="External"/><Relationship Id="rId53" Type="http://schemas.openxmlformats.org/officeDocument/2006/relationships/hyperlink" Target="https://doi.org/10.1007/978-3-319-38756-7_4" TargetMode="External"/><Relationship Id="rId52" Type="http://schemas.openxmlformats.org/officeDocument/2006/relationships/hyperlink" Target="https://orcid.org/0000-0003-0322-343X" TargetMode="External"/><Relationship Id="rId11" Type="http://schemas.openxmlformats.org/officeDocument/2006/relationships/hyperlink" Target="https://orcid.org/0000-0003-0322-343X" TargetMode="External"/><Relationship Id="rId55" Type="http://schemas.openxmlformats.org/officeDocument/2006/relationships/hyperlink" Target="https://doi.org/10.1007/978-3-319-38756-7_4" TargetMode="External"/><Relationship Id="rId10" Type="http://schemas.openxmlformats.org/officeDocument/2006/relationships/hyperlink" Target="https://orcid.org/0000-0003-0322-343X" TargetMode="External"/><Relationship Id="rId54" Type="http://schemas.openxmlformats.org/officeDocument/2006/relationships/hyperlink" Target="https://orcid.org/0000-0003-0322-343X" TargetMode="External"/><Relationship Id="rId13" Type="http://schemas.openxmlformats.org/officeDocument/2006/relationships/hyperlink" Target="https://doi.org/10.1016/B978-0-12-817630-6.00003-5" TargetMode="External"/><Relationship Id="rId57" Type="http://schemas.openxmlformats.org/officeDocument/2006/relationships/hyperlink" Target="https://doi.org/10.12688/digitaltwin.17574.1" TargetMode="External"/><Relationship Id="rId12" Type="http://schemas.openxmlformats.org/officeDocument/2006/relationships/hyperlink" Target="https://orcid.org/0000-0002-9020-0633" TargetMode="External"/><Relationship Id="rId56" Type="http://schemas.openxmlformats.org/officeDocument/2006/relationships/hyperlink" Target="https://orcid.org/0000-0003-0322-343X" TargetMode="External"/><Relationship Id="rId15" Type="http://schemas.openxmlformats.org/officeDocument/2006/relationships/hyperlink" Target="https://doi.org/10.1016/B978-0-12-817630-6.00003-5" TargetMode="External"/><Relationship Id="rId59" Type="http://schemas.openxmlformats.org/officeDocument/2006/relationships/hyperlink" Target="https://orcid.org/0000-0002-9020-0633" TargetMode="External"/><Relationship Id="rId14" Type="http://schemas.openxmlformats.org/officeDocument/2006/relationships/hyperlink" Target="https://orcid.org/0000-0002-9020-0633" TargetMode="External"/><Relationship Id="rId58" Type="http://schemas.openxmlformats.org/officeDocument/2006/relationships/hyperlink" Target="https://orcid.org/0000-0002-9020-0633" TargetMode="External"/><Relationship Id="rId17" Type="http://schemas.openxmlformats.org/officeDocument/2006/relationships/hyperlink" Target="https://doi.org/10.1016/B978-0-12-817630-6.00003-5" TargetMode="External"/><Relationship Id="rId16" Type="http://schemas.openxmlformats.org/officeDocument/2006/relationships/hyperlink" Target="https://orcid.org/0000-0002-9020-0633" TargetMode="External"/><Relationship Id="rId19" Type="http://schemas.openxmlformats.org/officeDocument/2006/relationships/hyperlink" Target="https://doi.org/10.1016/B978-0-12-817630-6.00003-5" TargetMode="External"/><Relationship Id="rId18" Type="http://schemas.openxmlformats.org/officeDocument/2006/relationships/hyperlink" Target="https://orcid.org/0000-0002-9020-0633"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88"/>
    <col customWidth="1" min="2" max="2" width="41.38"/>
    <col customWidth="1" min="3" max="3" width="54.88"/>
    <col customWidth="1" min="4" max="4" width="16.63"/>
    <col customWidth="1" min="5" max="5" width="29.5"/>
    <col customWidth="1" min="7" max="7" width="67.75"/>
    <col customWidth="1" min="9" max="9" width="30.5"/>
    <col customWidth="1" min="10" max="10" width="29.63"/>
    <col customWidth="1" min="11" max="11" width="27.25"/>
    <col customWidth="1" min="14" max="14" width="75.38"/>
  </cols>
  <sheetData>
    <row r="1">
      <c r="A1" s="1" t="s">
        <v>0</v>
      </c>
      <c r="B1" s="2" t="str">
        <f>C2</f>
        <v>https://www.w3id.org/ontoforge/digital-twin-taxonomy/</v>
      </c>
      <c r="C1" s="3"/>
      <c r="D1" s="3"/>
      <c r="E1" s="3"/>
      <c r="F1" s="3"/>
      <c r="G1" s="3"/>
      <c r="H1" s="3"/>
      <c r="I1" s="3"/>
      <c r="J1" s="3"/>
      <c r="K1" s="3"/>
      <c r="L1" s="3"/>
      <c r="M1" s="3"/>
      <c r="N1" s="3"/>
    </row>
    <row r="2">
      <c r="A2" s="1" t="s">
        <v>1</v>
      </c>
      <c r="B2" s="4" t="s">
        <v>2</v>
      </c>
      <c r="C2" s="2" t="s">
        <v>3</v>
      </c>
      <c r="D2" s="3"/>
      <c r="E2" s="3"/>
      <c r="F2" s="3"/>
      <c r="G2" s="3"/>
      <c r="H2" s="3"/>
      <c r="I2" s="3"/>
      <c r="J2" s="3"/>
      <c r="K2" s="3"/>
      <c r="L2" s="3"/>
      <c r="M2" s="3"/>
      <c r="N2" s="3"/>
    </row>
    <row r="3">
      <c r="A3" s="1" t="s">
        <v>1</v>
      </c>
      <c r="B3" s="3" t="s">
        <v>4</v>
      </c>
      <c r="C3" s="5" t="s">
        <v>5</v>
      </c>
      <c r="D3" s="3"/>
      <c r="E3" s="3"/>
      <c r="F3" s="3"/>
      <c r="G3" s="3"/>
      <c r="H3" s="3"/>
      <c r="I3" s="3"/>
      <c r="J3" s="3"/>
      <c r="K3" s="3"/>
      <c r="L3" s="3"/>
      <c r="M3" s="3"/>
      <c r="N3" s="3"/>
    </row>
    <row r="4">
      <c r="A4" s="1" t="s">
        <v>1</v>
      </c>
      <c r="B4" s="4" t="s">
        <v>6</v>
      </c>
      <c r="C4" s="3"/>
      <c r="D4" s="3"/>
      <c r="E4" s="3"/>
      <c r="F4" s="3"/>
      <c r="G4" s="3"/>
      <c r="H4" s="3"/>
      <c r="I4" s="3"/>
      <c r="J4" s="3"/>
      <c r="K4" s="3"/>
      <c r="L4" s="3"/>
      <c r="M4" s="3"/>
      <c r="N4" s="3"/>
    </row>
    <row r="5">
      <c r="A5" s="1" t="s">
        <v>7</v>
      </c>
      <c r="B5" s="4" t="s">
        <v>8</v>
      </c>
      <c r="C5" s="3"/>
      <c r="D5" s="3"/>
      <c r="E5" s="3"/>
      <c r="F5" s="3"/>
      <c r="G5" s="3"/>
      <c r="H5" s="3"/>
      <c r="I5" s="3"/>
      <c r="J5" s="3"/>
      <c r="K5" s="3"/>
      <c r="L5" s="3"/>
      <c r="M5" s="3"/>
      <c r="N5" s="3"/>
    </row>
    <row r="6">
      <c r="A6" s="1" t="s">
        <v>9</v>
      </c>
      <c r="B6" s="4" t="s">
        <v>8</v>
      </c>
      <c r="C6" s="3"/>
      <c r="D6" s="3"/>
      <c r="E6" s="3"/>
      <c r="F6" s="3"/>
      <c r="G6" s="3"/>
      <c r="H6" s="3"/>
      <c r="I6" s="3"/>
      <c r="J6" s="3"/>
      <c r="K6" s="3"/>
      <c r="L6" s="3"/>
      <c r="M6" s="3"/>
      <c r="N6" s="3"/>
    </row>
    <row r="7">
      <c r="A7" s="1" t="s">
        <v>10</v>
      </c>
      <c r="B7" s="6" t="s">
        <v>11</v>
      </c>
      <c r="C7" s="3"/>
      <c r="D7" s="3"/>
      <c r="E7" s="3"/>
      <c r="F7" s="3"/>
      <c r="G7" s="3"/>
      <c r="H7" s="3"/>
      <c r="I7" s="3"/>
      <c r="J7" s="3"/>
      <c r="K7" s="3"/>
      <c r="L7" s="3"/>
      <c r="M7" s="3"/>
      <c r="N7" s="3"/>
    </row>
    <row r="8">
      <c r="A8" s="1" t="s">
        <v>12</v>
      </c>
      <c r="B8" s="7" t="s">
        <v>13</v>
      </c>
      <c r="C8" s="3"/>
      <c r="D8" s="3"/>
      <c r="E8" s="3"/>
      <c r="F8" s="3"/>
      <c r="G8" s="3"/>
      <c r="H8" s="3"/>
      <c r="I8" s="3"/>
      <c r="J8" s="3"/>
      <c r="K8" s="3"/>
      <c r="L8" s="3"/>
      <c r="M8" s="3"/>
      <c r="N8" s="3"/>
    </row>
    <row r="9">
      <c r="A9" s="8" t="s">
        <v>14</v>
      </c>
      <c r="B9" s="9" t="s">
        <v>15</v>
      </c>
      <c r="C9" s="3"/>
      <c r="D9" s="3"/>
      <c r="E9" s="3"/>
      <c r="F9" s="3"/>
      <c r="G9" s="3"/>
      <c r="H9" s="3"/>
      <c r="I9" s="3"/>
      <c r="J9" s="3"/>
      <c r="K9" s="3"/>
      <c r="L9" s="3"/>
      <c r="M9" s="3"/>
      <c r="N9" s="3"/>
    </row>
    <row r="10">
      <c r="A10" s="1" t="s">
        <v>16</v>
      </c>
      <c r="B10" s="10" t="s">
        <v>13</v>
      </c>
      <c r="C10" s="3"/>
      <c r="D10" s="3"/>
      <c r="E10" s="3"/>
      <c r="F10" s="3"/>
      <c r="G10" s="3"/>
      <c r="H10" s="3"/>
      <c r="I10" s="3"/>
      <c r="J10" s="3"/>
      <c r="K10" s="3"/>
      <c r="L10" s="3"/>
      <c r="M10" s="3"/>
      <c r="N10" s="3"/>
    </row>
    <row r="11">
      <c r="A11" s="8" t="s">
        <v>17</v>
      </c>
      <c r="B11" s="11" t="s">
        <v>18</v>
      </c>
      <c r="C11" s="3"/>
      <c r="D11" s="3"/>
      <c r="E11" s="3"/>
      <c r="F11" s="3"/>
      <c r="G11" s="3"/>
      <c r="H11" s="3"/>
      <c r="I11" s="3"/>
      <c r="J11" s="3"/>
      <c r="K11" s="3"/>
      <c r="L11" s="3"/>
      <c r="M11" s="3"/>
      <c r="N11" s="3"/>
    </row>
    <row r="12">
      <c r="A12" s="8" t="s">
        <v>19</v>
      </c>
      <c r="B12" s="4" t="s">
        <v>20</v>
      </c>
      <c r="C12" s="3"/>
      <c r="D12" s="3"/>
      <c r="E12" s="3"/>
      <c r="F12" s="3"/>
      <c r="G12" s="3"/>
      <c r="H12" s="3"/>
      <c r="I12" s="3"/>
      <c r="J12" s="3"/>
      <c r="K12" s="3"/>
      <c r="L12" s="3"/>
      <c r="M12" s="3"/>
      <c r="N12" s="3"/>
    </row>
    <row r="13">
      <c r="A13" s="8" t="s">
        <v>21</v>
      </c>
      <c r="B13" s="3" t="str">
        <f>B12</f>
        <v>0.0.5</v>
      </c>
      <c r="C13" s="3"/>
      <c r="D13" s="3"/>
      <c r="E13" s="3"/>
      <c r="F13" s="3"/>
      <c r="G13" s="3"/>
      <c r="H13" s="3"/>
      <c r="I13" s="3"/>
      <c r="J13" s="3"/>
      <c r="K13" s="3"/>
      <c r="L13" s="3"/>
      <c r="M13" s="3"/>
      <c r="N13" s="3"/>
    </row>
    <row r="14">
      <c r="A14" s="3"/>
      <c r="B14" s="3"/>
      <c r="C14" s="3"/>
      <c r="D14" s="3"/>
      <c r="E14" s="3"/>
      <c r="F14" s="3"/>
      <c r="G14" s="3"/>
      <c r="H14" s="3"/>
      <c r="I14" s="3"/>
      <c r="J14" s="3"/>
      <c r="K14" s="3"/>
      <c r="L14" s="3"/>
      <c r="M14" s="3"/>
      <c r="N14" s="3"/>
    </row>
    <row r="15">
      <c r="A15" s="1" t="s">
        <v>22</v>
      </c>
      <c r="B15" s="1" t="s">
        <v>7</v>
      </c>
      <c r="C15" s="12" t="s">
        <v>23</v>
      </c>
      <c r="D15" s="1" t="s">
        <v>24</v>
      </c>
      <c r="E15" s="1" t="s">
        <v>25</v>
      </c>
      <c r="F15" s="1" t="s">
        <v>26</v>
      </c>
      <c r="G15" s="8" t="s">
        <v>27</v>
      </c>
      <c r="H15" s="8" t="s">
        <v>28</v>
      </c>
      <c r="I15" s="1" t="s">
        <v>29</v>
      </c>
      <c r="J15" s="1" t="s">
        <v>30</v>
      </c>
      <c r="K15" s="8" t="s">
        <v>31</v>
      </c>
      <c r="L15" s="8" t="s">
        <v>32</v>
      </c>
      <c r="M15" s="1" t="s">
        <v>33</v>
      </c>
      <c r="N15" s="1" t="s">
        <v>34</v>
      </c>
    </row>
    <row r="16">
      <c r="A16" s="13" t="str">
        <f t="shared" ref="A16:A38" si="1">IF(ISBLANK($B16),"",$B$2 &amp; ":" &amp; (SUBSTITUTE(SUBSTITUTE(SUBSTITUTE(SUBSTITUTE(SUBSTITUTE(SUBSTITUTE(SUBSTITUTE(SUBSTITUTE(SUBSTITUTE(B16," ",""),"/","Div"),",","-"),"(","-"),")",""),"+","plus"),"--","-")," ",""),"&amp;","-")))</f>
        <v>ditta:DigitalTwinConceptualModel</v>
      </c>
      <c r="B16" s="14" t="s">
        <v>35</v>
      </c>
      <c r="C16" s="15" t="s">
        <v>36</v>
      </c>
      <c r="D16" s="14" t="s">
        <v>37</v>
      </c>
      <c r="I16" s="16" t="s">
        <v>38</v>
      </c>
      <c r="K16" s="17" t="s">
        <v>39</v>
      </c>
    </row>
    <row r="17">
      <c r="A17" s="13" t="str">
        <f t="shared" si="1"/>
        <v>ditta:DigitalTwinType</v>
      </c>
      <c r="B17" s="14" t="s">
        <v>40</v>
      </c>
      <c r="I17" s="16" t="s">
        <v>13</v>
      </c>
    </row>
    <row r="18">
      <c r="A18" s="13" t="str">
        <f t="shared" si="1"/>
        <v>ditta:PhysicalSystem</v>
      </c>
      <c r="B18" s="14" t="s">
        <v>41</v>
      </c>
      <c r="D18" s="14" t="s">
        <v>42</v>
      </c>
      <c r="E18" s="13" t="str">
        <f>A16</f>
        <v>ditta:DigitalTwinConceptualModel</v>
      </c>
      <c r="I18" s="16" t="s">
        <v>38</v>
      </c>
    </row>
    <row r="19">
      <c r="A19" s="13" t="str">
        <f t="shared" si="1"/>
        <v>ditta:DigitalSystem</v>
      </c>
      <c r="B19" s="14" t="s">
        <v>43</v>
      </c>
      <c r="D19" s="14" t="s">
        <v>44</v>
      </c>
      <c r="E19" s="13" t="str">
        <f>A16</f>
        <v>ditta:DigitalTwinConceptualModel</v>
      </c>
      <c r="I19" s="16" t="s">
        <v>38</v>
      </c>
    </row>
    <row r="20">
      <c r="A20" s="13" t="str">
        <f t="shared" si="1"/>
        <v>ditta:ConnectionSystem</v>
      </c>
      <c r="B20" s="14" t="s">
        <v>45</v>
      </c>
      <c r="D20" s="14" t="s">
        <v>46</v>
      </c>
      <c r="E20" s="13" t="str">
        <f>A16</f>
        <v>ditta:DigitalTwinConceptualModel</v>
      </c>
      <c r="I20" s="16" t="s">
        <v>38</v>
      </c>
    </row>
    <row r="21">
      <c r="A21" s="13" t="str">
        <f t="shared" si="1"/>
        <v>ditta:ModelSystem</v>
      </c>
      <c r="B21" s="14" t="s">
        <v>47</v>
      </c>
      <c r="D21" s="14" t="s">
        <v>48</v>
      </c>
      <c r="E21" s="13" t="str">
        <f t="shared" ref="E21:E23" si="2">$A$19</f>
        <v>ditta:DigitalSystem</v>
      </c>
      <c r="I21" s="16" t="s">
        <v>49</v>
      </c>
      <c r="K21" s="16" t="s">
        <v>50</v>
      </c>
      <c r="N21" s="14" t="s">
        <v>51</v>
      </c>
    </row>
    <row r="22">
      <c r="A22" s="13" t="str">
        <f t="shared" si="1"/>
        <v>ditta:ServiceSystem</v>
      </c>
      <c r="B22" s="14" t="s">
        <v>52</v>
      </c>
      <c r="E22" s="13" t="str">
        <f t="shared" si="2"/>
        <v>ditta:DigitalSystem</v>
      </c>
      <c r="I22" s="16" t="s">
        <v>49</v>
      </c>
      <c r="K22" s="16" t="s">
        <v>50</v>
      </c>
      <c r="N22" s="14" t="s">
        <v>53</v>
      </c>
    </row>
    <row r="23">
      <c r="A23" s="13" t="str">
        <f t="shared" si="1"/>
        <v>ditta:DataSystem</v>
      </c>
      <c r="B23" s="14" t="s">
        <v>54</v>
      </c>
      <c r="E23" s="13" t="str">
        <f t="shared" si="2"/>
        <v>ditta:DigitalSystem</v>
      </c>
      <c r="I23" s="16" t="s">
        <v>49</v>
      </c>
      <c r="K23" s="16" t="s">
        <v>50</v>
      </c>
      <c r="N23" s="14" t="s">
        <v>53</v>
      </c>
    </row>
    <row r="24">
      <c r="A24" s="13" t="str">
        <f t="shared" si="1"/>
        <v>ditta:GeometryModel</v>
      </c>
      <c r="B24" s="14" t="s">
        <v>55</v>
      </c>
      <c r="C24" s="14"/>
      <c r="E24" s="13" t="str">
        <f t="shared" ref="E24:E27" si="3">$A$21</f>
        <v>ditta:ModelSystem</v>
      </c>
      <c r="I24" s="16" t="s">
        <v>49</v>
      </c>
      <c r="K24" s="16" t="s">
        <v>50</v>
      </c>
    </row>
    <row r="25">
      <c r="A25" s="13" t="str">
        <f t="shared" si="1"/>
        <v>ditta:PhysicsModel</v>
      </c>
      <c r="B25" s="14" t="s">
        <v>56</v>
      </c>
      <c r="C25" s="14"/>
      <c r="E25" s="13" t="str">
        <f t="shared" si="3"/>
        <v>ditta:ModelSystem</v>
      </c>
      <c r="I25" s="16" t="s">
        <v>49</v>
      </c>
      <c r="K25" s="16" t="s">
        <v>50</v>
      </c>
    </row>
    <row r="26">
      <c r="A26" s="13" t="str">
        <f t="shared" si="1"/>
        <v>ditta:BehaviourModel</v>
      </c>
      <c r="B26" s="14" t="s">
        <v>57</v>
      </c>
      <c r="C26" s="14"/>
      <c r="E26" s="13" t="str">
        <f t="shared" si="3"/>
        <v>ditta:ModelSystem</v>
      </c>
      <c r="I26" s="16" t="s">
        <v>49</v>
      </c>
      <c r="K26" s="16" t="s">
        <v>50</v>
      </c>
    </row>
    <row r="27">
      <c r="A27" s="13" t="str">
        <f t="shared" si="1"/>
        <v>ditta:RuleModel</v>
      </c>
      <c r="B27" s="14" t="s">
        <v>58</v>
      </c>
      <c r="C27" s="14"/>
      <c r="E27" s="13" t="str">
        <f t="shared" si="3"/>
        <v>ditta:ModelSystem</v>
      </c>
      <c r="I27" s="16" t="s">
        <v>49</v>
      </c>
      <c r="K27" s="16" t="s">
        <v>50</v>
      </c>
    </row>
    <row r="28">
      <c r="A28" s="13" t="str">
        <f t="shared" si="1"/>
        <v>ditta:SystemFunctionality</v>
      </c>
      <c r="B28" s="14" t="s">
        <v>59</v>
      </c>
      <c r="C28" s="14" t="s">
        <v>60</v>
      </c>
      <c r="E28" s="13" t="str">
        <f>$A$17</f>
        <v>ditta:DigitalTwinType</v>
      </c>
    </row>
    <row r="29">
      <c r="A29" s="13" t="str">
        <f t="shared" si="1"/>
        <v>ditta:SupervisoryDigitalTwin</v>
      </c>
      <c r="B29" s="14" t="s">
        <v>61</v>
      </c>
      <c r="E29" s="13" t="str">
        <f>$A$28</f>
        <v>ditta:SystemFunctionality</v>
      </c>
      <c r="G29" s="13" t="str">
        <f t="shared" ref="G29:G31" si="4">TEXTJOIN(",",1,A35,A40)</f>
        <v>ditta:L1DescriptiveDigitalTwin,ditta:1-DescriptiveDigitalTwin</v>
      </c>
    </row>
    <row r="30">
      <c r="A30" s="13" t="str">
        <f t="shared" si="1"/>
        <v>ditta:OperationalDigitalTwin</v>
      </c>
      <c r="B30" s="14" t="s">
        <v>62</v>
      </c>
      <c r="E30" s="13" t="str">
        <f t="shared" ref="E30:E33" si="5">$A29</f>
        <v>ditta:SupervisoryDigitalTwin</v>
      </c>
      <c r="G30" s="13" t="str">
        <f t="shared" si="4"/>
        <v>ditta:L2InformativeDigitalTwin,ditta:2-DiagnosticDigitalTwin</v>
      </c>
      <c r="I30" s="16" t="s">
        <v>63</v>
      </c>
      <c r="K30" s="16" t="s">
        <v>64</v>
      </c>
    </row>
    <row r="31">
      <c r="A31" s="13" t="str">
        <f t="shared" si="1"/>
        <v>ditta:Simulation-PredictionDigitalTwin</v>
      </c>
      <c r="B31" s="14" t="s">
        <v>65</v>
      </c>
      <c r="E31" s="13" t="str">
        <f t="shared" si="5"/>
        <v>ditta:OperationalDigitalTwin</v>
      </c>
      <c r="G31" s="13" t="str">
        <f t="shared" si="4"/>
        <v>ditta:L3PredictiveDigitalTwin,ditta:3-PredictiveDigitalTwin</v>
      </c>
      <c r="I31" s="16" t="s">
        <v>63</v>
      </c>
      <c r="K31" s="16" t="s">
        <v>64</v>
      </c>
    </row>
    <row r="32">
      <c r="A32" s="13" t="str">
        <f t="shared" si="1"/>
        <v>ditta:Intelligent-LearningDigitalTwin</v>
      </c>
      <c r="B32" s="14" t="s">
        <v>66</v>
      </c>
      <c r="D32" s="14" t="s">
        <v>67</v>
      </c>
      <c r="E32" s="13" t="str">
        <f t="shared" si="5"/>
        <v>ditta:Simulation-PredictionDigitalTwin</v>
      </c>
      <c r="G32" s="13" t="str">
        <f>TEXTJOIN(",",1,A38,A43,A45)</f>
        <v>ditta:L4LivingDigitalTwin,ditta:4-PrescriptiveDigitalTwin,ditta:IntelligentDigitalTwin</v>
      </c>
      <c r="I32" s="16" t="s">
        <v>63</v>
      </c>
      <c r="K32" s="16" t="s">
        <v>64</v>
      </c>
    </row>
    <row r="33">
      <c r="A33" s="13" t="str">
        <f t="shared" si="1"/>
        <v>ditta:AutonomousDigitalTwin</v>
      </c>
      <c r="B33" s="14" t="s">
        <v>68</v>
      </c>
      <c r="E33" s="13" t="str">
        <f t="shared" si="5"/>
        <v>ditta:Intelligent-LearningDigitalTwin</v>
      </c>
      <c r="F33" s="13" t="str">
        <f>TEXTJOIN(",",1,A44)</f>
        <v>ditta:5-AutonomousDigitalTwin</v>
      </c>
      <c r="G33" s="13" t="str">
        <f>TEXTJOIN(",",1,A34,A38, A45)</f>
        <v>ditta:CognitiveDigitalTwin,ditta:L4LivingDigitalTwin,ditta:IntelligentDigitalTwin</v>
      </c>
      <c r="I33" s="16" t="s">
        <v>63</v>
      </c>
      <c r="K33" s="16" t="s">
        <v>64</v>
      </c>
    </row>
    <row r="34">
      <c r="A34" s="13" t="str">
        <f t="shared" si="1"/>
        <v>ditta:CognitiveDigitalTwin</v>
      </c>
      <c r="B34" s="14" t="s">
        <v>69</v>
      </c>
      <c r="C34" s="15" t="s">
        <v>70</v>
      </c>
      <c r="E34" s="13" t="str">
        <f t="shared" ref="E34:E35" si="6">$A$28</f>
        <v>ditta:SystemFunctionality</v>
      </c>
      <c r="G34" s="13" t="str">
        <f>TEXTJOIN(",",1,A33,A38)</f>
        <v>ditta:AutonomousDigitalTwin,ditta:L4LivingDigitalTwin</v>
      </c>
      <c r="I34" s="16" t="s">
        <v>71</v>
      </c>
      <c r="J34" s="18"/>
      <c r="K34" s="17" t="s">
        <v>72</v>
      </c>
      <c r="L34" s="17" t="s">
        <v>73</v>
      </c>
    </row>
    <row r="35">
      <c r="A35" s="13" t="str">
        <f t="shared" si="1"/>
        <v>ditta:L1DescriptiveDigitalTwin</v>
      </c>
      <c r="B35" s="14" t="s">
        <v>74</v>
      </c>
      <c r="C35" s="15" t="s">
        <v>75</v>
      </c>
      <c r="E35" s="13" t="str">
        <f t="shared" si="6"/>
        <v>ditta:SystemFunctionality</v>
      </c>
      <c r="G35" s="13" t="str">
        <f t="shared" ref="G35:G37" si="7">A29</f>
        <v>ditta:SupervisoryDigitalTwin</v>
      </c>
    </row>
    <row r="36">
      <c r="A36" s="13" t="str">
        <f t="shared" si="1"/>
        <v>ditta:L2InformativeDigitalTwin</v>
      </c>
      <c r="B36" s="14" t="s">
        <v>76</v>
      </c>
      <c r="C36" s="15" t="s">
        <v>77</v>
      </c>
      <c r="E36" s="13" t="str">
        <f t="shared" ref="E36:E38" si="8">$A35</f>
        <v>ditta:L1DescriptiveDigitalTwin</v>
      </c>
      <c r="G36" s="13" t="str">
        <f t="shared" si="7"/>
        <v>ditta:OperationalDigitalTwin</v>
      </c>
    </row>
    <row r="37">
      <c r="A37" s="13" t="str">
        <f t="shared" si="1"/>
        <v>ditta:L3PredictiveDigitalTwin</v>
      </c>
      <c r="B37" s="14" t="s">
        <v>78</v>
      </c>
      <c r="C37" s="15" t="s">
        <v>79</v>
      </c>
      <c r="E37" s="13" t="str">
        <f t="shared" si="8"/>
        <v>ditta:L2InformativeDigitalTwin</v>
      </c>
      <c r="G37" s="13" t="str">
        <f t="shared" si="7"/>
        <v>ditta:Simulation-PredictionDigitalTwin</v>
      </c>
    </row>
    <row r="38">
      <c r="A38" s="13" t="str">
        <f t="shared" si="1"/>
        <v>ditta:L4LivingDigitalTwin</v>
      </c>
      <c r="B38" s="14" t="s">
        <v>80</v>
      </c>
      <c r="C38" s="15" t="s">
        <v>81</v>
      </c>
      <c r="E38" s="13" t="str">
        <f t="shared" si="8"/>
        <v>ditta:L3PredictiveDigitalTwin</v>
      </c>
      <c r="G38" s="13" t="str">
        <f>TEXTJOIN(",",1,A32,A33,A34,A44,A45)</f>
        <v>ditta:Intelligent-LearningDigitalTwin,ditta:AutonomousDigitalTwin,ditta:CognitiveDigitalTwin,ditta:5-AutonomousDigitalTwin,ditta:IntelligentDigitalTwin</v>
      </c>
    </row>
    <row r="39">
      <c r="A39" s="14" t="s">
        <v>82</v>
      </c>
      <c r="B39" s="14" t="s">
        <v>83</v>
      </c>
      <c r="C39" s="15" t="s">
        <v>84</v>
      </c>
      <c r="E39" s="13" t="str">
        <f>$A$28</f>
        <v>ditta:SystemFunctionality</v>
      </c>
      <c r="G39" s="13" t="str">
        <f>A56</f>
        <v>ditta:DigitalTwinPrototype</v>
      </c>
      <c r="I39" s="16" t="s">
        <v>85</v>
      </c>
      <c r="K39" s="16" t="s">
        <v>86</v>
      </c>
    </row>
    <row r="40">
      <c r="A40" s="14" t="s">
        <v>87</v>
      </c>
      <c r="B40" s="14" t="s">
        <v>88</v>
      </c>
      <c r="C40" s="15" t="s">
        <v>89</v>
      </c>
      <c r="E40" s="13" t="str">
        <f t="shared" ref="E40:E44" si="9">A39</f>
        <v>ditta:0-StandaloneDigitalTwin</v>
      </c>
      <c r="G40" s="13" t="str">
        <f t="shared" ref="G40:G42" si="10">TEXTJOIN(",",1,A35,A29)</f>
        <v>ditta:L1DescriptiveDigitalTwin,ditta:SupervisoryDigitalTwin</v>
      </c>
      <c r="I40" s="19" t="str">
        <f t="shared" ref="I40:I44" si="11">I39</f>
        <v>https://orcid.org/0009-0003-5155-0870</v>
      </c>
      <c r="K40" s="19" t="str">
        <f t="shared" ref="K40:K44" si="12">K39</f>
        <v>https://doi.org/10.1109/ACCESS.2023.3321320</v>
      </c>
    </row>
    <row r="41">
      <c r="A41" s="14" t="s">
        <v>90</v>
      </c>
      <c r="B41" s="14" t="s">
        <v>91</v>
      </c>
      <c r="C41" s="15" t="s">
        <v>92</v>
      </c>
      <c r="E41" s="13" t="str">
        <f t="shared" si="9"/>
        <v>ditta:1-DescriptiveDigitalTwin</v>
      </c>
      <c r="G41" s="13" t="str">
        <f t="shared" si="10"/>
        <v>ditta:L2InformativeDigitalTwin,ditta:OperationalDigitalTwin</v>
      </c>
      <c r="I41" s="19" t="str">
        <f t="shared" si="11"/>
        <v>https://orcid.org/0009-0003-5155-0870</v>
      </c>
      <c r="K41" s="19" t="str">
        <f t="shared" si="12"/>
        <v>https://doi.org/10.1109/ACCESS.2023.3321320</v>
      </c>
    </row>
    <row r="42">
      <c r="A42" s="14" t="s">
        <v>93</v>
      </c>
      <c r="B42" s="14" t="s">
        <v>94</v>
      </c>
      <c r="C42" s="15" t="s">
        <v>95</v>
      </c>
      <c r="E42" s="13" t="str">
        <f t="shared" si="9"/>
        <v>ditta:2-DiagnosticDigitalTwin</v>
      </c>
      <c r="G42" s="13" t="str">
        <f t="shared" si="10"/>
        <v>ditta:L3PredictiveDigitalTwin,ditta:Simulation-PredictionDigitalTwin</v>
      </c>
      <c r="I42" s="19" t="str">
        <f t="shared" si="11"/>
        <v>https://orcid.org/0009-0003-5155-0870</v>
      </c>
      <c r="K42" s="19" t="str">
        <f t="shared" si="12"/>
        <v>https://doi.org/10.1109/ACCESS.2023.3321320</v>
      </c>
    </row>
    <row r="43">
      <c r="A43" s="14" t="s">
        <v>96</v>
      </c>
      <c r="B43" s="14" t="s">
        <v>97</v>
      </c>
      <c r="C43" s="15" t="s">
        <v>98</v>
      </c>
      <c r="E43" s="13" t="str">
        <f t="shared" si="9"/>
        <v>ditta:3-PredictiveDigitalTwin</v>
      </c>
      <c r="G43" s="13" t="str">
        <f>TEXTJOIN(",",1,A38,A32, A45)</f>
        <v>ditta:L4LivingDigitalTwin,ditta:Intelligent-LearningDigitalTwin,ditta:IntelligentDigitalTwin</v>
      </c>
      <c r="I43" s="19" t="str">
        <f t="shared" si="11"/>
        <v>https://orcid.org/0009-0003-5155-0870</v>
      </c>
      <c r="K43" s="19" t="str">
        <f t="shared" si="12"/>
        <v>https://doi.org/10.1109/ACCESS.2023.3321320</v>
      </c>
    </row>
    <row r="44">
      <c r="A44" s="14" t="s">
        <v>99</v>
      </c>
      <c r="B44" s="14" t="s">
        <v>68</v>
      </c>
      <c r="C44" s="15" t="s">
        <v>100</v>
      </c>
      <c r="E44" s="13" t="str">
        <f t="shared" si="9"/>
        <v>ditta:4-PrescriptiveDigitalTwin</v>
      </c>
      <c r="F44" s="13" t="str">
        <f>TEXTJOIN(",",1,A33)</f>
        <v>ditta:AutonomousDigitalTwin</v>
      </c>
      <c r="G44" s="13" t="str">
        <f>TEXTJOIN(",",1,A34,A38,A45)</f>
        <v>ditta:CognitiveDigitalTwin,ditta:L4LivingDigitalTwin,ditta:IntelligentDigitalTwin</v>
      </c>
      <c r="I44" s="19" t="str">
        <f t="shared" si="11"/>
        <v>https://orcid.org/0009-0003-5155-0870</v>
      </c>
      <c r="K44" s="19" t="str">
        <f t="shared" si="12"/>
        <v>https://doi.org/10.1109/ACCESS.2023.3321320</v>
      </c>
    </row>
    <row r="45">
      <c r="A45" s="13" t="str">
        <f t="shared" ref="A45:A61" si="13">IF(ISBLANK($B45),"",$B$2 &amp; ":" &amp; (SUBSTITUTE(SUBSTITUTE(SUBSTITUTE(SUBSTITUTE(SUBSTITUTE(SUBSTITUTE(SUBSTITUTE(SUBSTITUTE(SUBSTITUTE(B45," ",""),"/","Div"),",","-"),"(","-"),")",""),"+","plus"),"--","-")," ",""),"&amp;","-")))</f>
        <v>ditta:IntelligentDigitalTwin</v>
      </c>
      <c r="B45" s="14" t="s">
        <v>101</v>
      </c>
      <c r="C45" s="14" t="s">
        <v>102</v>
      </c>
      <c r="D45" s="14"/>
      <c r="E45" s="13" t="str">
        <f>$A$28</f>
        <v>ditta:SystemFunctionality</v>
      </c>
      <c r="G45" s="13" t="str">
        <f>TEXTJOIN(",",1,A32,A44,A43,A38,A33)</f>
        <v>ditta:Intelligent-LearningDigitalTwin,ditta:5-AutonomousDigitalTwin,ditta:4-PrescriptiveDigitalTwin,ditta:L4LivingDigitalTwin,ditta:AutonomousDigitalTwin</v>
      </c>
      <c r="I45" s="16" t="s">
        <v>38</v>
      </c>
      <c r="K45" s="16" t="s">
        <v>39</v>
      </c>
    </row>
    <row r="46">
      <c r="A46" s="13" t="str">
        <f t="shared" si="13"/>
        <v>ditta:ConnectionSystemAutomation</v>
      </c>
      <c r="B46" s="14" t="s">
        <v>103</v>
      </c>
      <c r="C46" s="14" t="s">
        <v>104</v>
      </c>
      <c r="D46" s="14" t="s">
        <v>105</v>
      </c>
      <c r="E46" s="13" t="str">
        <f>$A$17</f>
        <v>ditta:DigitalTwinType</v>
      </c>
      <c r="H46" s="13" t="str">
        <f>A20</f>
        <v>ditta:ConnectionSystem</v>
      </c>
    </row>
    <row r="47">
      <c r="A47" s="13" t="str">
        <f t="shared" si="13"/>
        <v>ditta:ManuallyCoupledDigitalTwin</v>
      </c>
      <c r="B47" s="14" t="s">
        <v>106</v>
      </c>
      <c r="C47" s="20" t="s">
        <v>107</v>
      </c>
      <c r="D47" s="14" t="s">
        <v>108</v>
      </c>
      <c r="E47" s="13" t="str">
        <f t="shared" ref="E47:E49" si="14">A46</f>
        <v>ditta:ConnectionSystemAutomation</v>
      </c>
      <c r="I47" s="17" t="s">
        <v>109</v>
      </c>
      <c r="J47" s="16" t="s">
        <v>13</v>
      </c>
      <c r="K47" s="17" t="s">
        <v>110</v>
      </c>
      <c r="L47" s="14"/>
      <c r="N47" s="14" t="s">
        <v>111</v>
      </c>
    </row>
    <row r="48">
      <c r="A48" s="13" t="str">
        <f t="shared" si="13"/>
        <v>ditta:DigitalShadow</v>
      </c>
      <c r="B48" s="14" t="s">
        <v>112</v>
      </c>
      <c r="C48" s="20" t="s">
        <v>113</v>
      </c>
      <c r="D48" s="14" t="s">
        <v>114</v>
      </c>
      <c r="E48" s="13" t="str">
        <f t="shared" si="14"/>
        <v>ditta:ManuallyCoupledDigitalTwin</v>
      </c>
      <c r="I48" s="17" t="s">
        <v>109</v>
      </c>
      <c r="J48" s="16" t="s">
        <v>13</v>
      </c>
      <c r="K48" s="17" t="s">
        <v>110</v>
      </c>
      <c r="L48" s="17" t="s">
        <v>39</v>
      </c>
      <c r="N48" s="15" t="s">
        <v>115</v>
      </c>
    </row>
    <row r="49">
      <c r="A49" s="13" t="str">
        <f t="shared" si="13"/>
        <v>ditta:FullyCoupledDigitalTwin</v>
      </c>
      <c r="B49" s="14" t="s">
        <v>116</v>
      </c>
      <c r="C49" s="14" t="s">
        <v>117</v>
      </c>
      <c r="D49" s="14" t="s">
        <v>118</v>
      </c>
      <c r="E49" s="13" t="str">
        <f t="shared" si="14"/>
        <v>ditta:DigitalShadow</v>
      </c>
      <c r="I49" s="17" t="s">
        <v>109</v>
      </c>
      <c r="J49" s="16" t="s">
        <v>13</v>
      </c>
      <c r="K49" s="17" t="s">
        <v>110</v>
      </c>
      <c r="L49" s="17" t="s">
        <v>39</v>
      </c>
      <c r="N49" s="15" t="s">
        <v>119</v>
      </c>
    </row>
    <row r="50">
      <c r="A50" s="13" t="str">
        <f t="shared" si="13"/>
        <v>ditta:ModelFidelity</v>
      </c>
      <c r="B50" s="14" t="s">
        <v>120</v>
      </c>
      <c r="E50" s="13" t="str">
        <f>$A$17</f>
        <v>ditta:DigitalTwinType</v>
      </c>
      <c r="H50" s="13" t="str">
        <f>$A$21</f>
        <v>ditta:ModelSystem</v>
      </c>
    </row>
    <row r="51">
      <c r="A51" s="13" t="str">
        <f t="shared" si="13"/>
        <v>ditta:LowFidelityDigitalTwin</v>
      </c>
      <c r="B51" s="14" t="s">
        <v>121</v>
      </c>
      <c r="C51" s="15" t="s">
        <v>122</v>
      </c>
      <c r="E51" s="13" t="str">
        <f t="shared" ref="E51:E54" si="15">$A$50</f>
        <v>ditta:ModelFidelity</v>
      </c>
      <c r="N51" s="15" t="s">
        <v>123</v>
      </c>
    </row>
    <row r="52">
      <c r="A52" s="13" t="str">
        <f t="shared" si="13"/>
        <v>ditta:MediumFidelityDigitalTwin</v>
      </c>
      <c r="B52" s="14" t="s">
        <v>124</v>
      </c>
      <c r="C52" s="15" t="s">
        <v>125</v>
      </c>
      <c r="E52" s="13" t="str">
        <f t="shared" si="15"/>
        <v>ditta:ModelFidelity</v>
      </c>
      <c r="N52" s="15" t="s">
        <v>126</v>
      </c>
    </row>
    <row r="53">
      <c r="A53" s="13" t="str">
        <f t="shared" si="13"/>
        <v>ditta:HighFidelityDigitalTwin</v>
      </c>
      <c r="B53" s="14" t="s">
        <v>127</v>
      </c>
      <c r="C53" s="15" t="s">
        <v>128</v>
      </c>
      <c r="E53" s="13" t="str">
        <f t="shared" si="15"/>
        <v>ditta:ModelFidelity</v>
      </c>
      <c r="N53" s="15" t="s">
        <v>129</v>
      </c>
    </row>
    <row r="54">
      <c r="A54" s="13" t="str">
        <f t="shared" si="13"/>
        <v>ditta:Multi-FidelityDigitalTwin</v>
      </c>
      <c r="B54" s="14" t="s">
        <v>130</v>
      </c>
      <c r="C54" s="15" t="s">
        <v>131</v>
      </c>
      <c r="E54" s="13" t="str">
        <f t="shared" si="15"/>
        <v>ditta:ModelFidelity</v>
      </c>
    </row>
    <row r="55">
      <c r="A55" s="13" t="str">
        <f t="shared" si="13"/>
        <v>ditta:PhysicalSystemLifetimeStage</v>
      </c>
      <c r="B55" s="14" t="s">
        <v>132</v>
      </c>
      <c r="E55" s="13" t="str">
        <f>$A$17</f>
        <v>ditta:DigitalTwinType</v>
      </c>
      <c r="H55" s="13" t="str">
        <f>$A$18</f>
        <v>ditta:PhysicalSystem</v>
      </c>
    </row>
    <row r="56">
      <c r="A56" s="13" t="str">
        <f t="shared" si="13"/>
        <v>ditta:DigitalTwinPrototype</v>
      </c>
      <c r="B56" s="14" t="s">
        <v>133</v>
      </c>
      <c r="C56" s="20" t="s">
        <v>134</v>
      </c>
      <c r="E56" s="13" t="str">
        <f t="shared" ref="E56:E58" si="16">$A$55</f>
        <v>ditta:PhysicalSystemLifetimeStage</v>
      </c>
      <c r="I56" s="16" t="s">
        <v>38</v>
      </c>
      <c r="K56" s="16" t="s">
        <v>135</v>
      </c>
    </row>
    <row r="57">
      <c r="A57" s="13" t="str">
        <f t="shared" si="13"/>
        <v>ditta:DigitalTwinInstance</v>
      </c>
      <c r="B57" s="14" t="s">
        <v>136</v>
      </c>
      <c r="C57" s="14" t="s">
        <v>137</v>
      </c>
      <c r="E57" s="13" t="str">
        <f t="shared" si="16"/>
        <v>ditta:PhysicalSystemLifetimeStage</v>
      </c>
      <c r="I57" s="16" t="s">
        <v>38</v>
      </c>
      <c r="K57" s="16" t="s">
        <v>135</v>
      </c>
    </row>
    <row r="58">
      <c r="A58" s="13" t="str">
        <f t="shared" si="13"/>
        <v>ditta:DigitalTwinAggregate</v>
      </c>
      <c r="B58" s="14" t="s">
        <v>138</v>
      </c>
      <c r="C58" s="14" t="s">
        <v>139</v>
      </c>
      <c r="E58" s="13" t="str">
        <f t="shared" si="16"/>
        <v>ditta:PhysicalSystemLifetimeStage</v>
      </c>
      <c r="I58" s="16" t="s">
        <v>38</v>
      </c>
      <c r="K58" s="16" t="s">
        <v>39</v>
      </c>
    </row>
    <row r="59">
      <c r="A59" s="13" t="str">
        <f t="shared" si="13"/>
        <v>ditta:ConceptualModelDimensionality</v>
      </c>
      <c r="B59" s="14" t="s">
        <v>140</v>
      </c>
      <c r="E59" s="13" t="str">
        <f>A17</f>
        <v>ditta:DigitalTwinType</v>
      </c>
    </row>
    <row r="60">
      <c r="A60" s="13" t="str">
        <f t="shared" si="13"/>
        <v>ditta:Three-dimensionalDigitalTwin</v>
      </c>
      <c r="B60" s="14" t="s">
        <v>141</v>
      </c>
      <c r="E60" s="13" t="str">
        <f>A59</f>
        <v>ditta:ConceptualModelDimensionality</v>
      </c>
      <c r="F60" s="13" t="str">
        <f>A16</f>
        <v>ditta:DigitalTwinConceptualModel</v>
      </c>
      <c r="I60" s="16" t="s">
        <v>49</v>
      </c>
    </row>
    <row r="61">
      <c r="A61" s="13" t="str">
        <f t="shared" si="13"/>
        <v>ditta:Five-dimensionalDigitalTwin</v>
      </c>
      <c r="B61" s="14" t="s">
        <v>142</v>
      </c>
      <c r="C61" s="14" t="s">
        <v>143</v>
      </c>
      <c r="E61" s="13" t="str">
        <f>A59</f>
        <v>ditta:ConceptualModelDimensionality</v>
      </c>
      <c r="I61" s="16" t="s">
        <v>49</v>
      </c>
    </row>
  </sheetData>
  <hyperlinks>
    <hyperlink r:id="rId1" ref="C2"/>
    <hyperlink r:id="rId2" ref="C3"/>
    <hyperlink r:id="rId3" ref="B8"/>
    <hyperlink r:id="rId4" ref="B10"/>
    <hyperlink r:id="rId5" ref="B11"/>
    <hyperlink r:id="rId6" ref="I16"/>
    <hyperlink r:id="rId7" ref="K16"/>
    <hyperlink r:id="rId8" ref="I17"/>
    <hyperlink r:id="rId9" ref="I18"/>
    <hyperlink r:id="rId10" ref="I19"/>
    <hyperlink r:id="rId11" ref="I20"/>
    <hyperlink r:id="rId12" ref="I21"/>
    <hyperlink r:id="rId13" ref="K21"/>
    <hyperlink r:id="rId14" ref="I22"/>
    <hyperlink r:id="rId15" ref="K22"/>
    <hyperlink r:id="rId16" ref="I23"/>
    <hyperlink r:id="rId17" ref="K23"/>
    <hyperlink r:id="rId18" ref="I24"/>
    <hyperlink r:id="rId19" ref="K24"/>
    <hyperlink r:id="rId20" ref="I25"/>
    <hyperlink r:id="rId21" ref="K25"/>
    <hyperlink r:id="rId22" ref="I26"/>
    <hyperlink r:id="rId23" ref="K26"/>
    <hyperlink r:id="rId24" ref="I27"/>
    <hyperlink r:id="rId25" ref="K27"/>
    <hyperlink r:id="rId26" ref="I30"/>
    <hyperlink r:id="rId27" ref="K30"/>
    <hyperlink r:id="rId28" ref="I31"/>
    <hyperlink r:id="rId29" ref="K31"/>
    <hyperlink r:id="rId30" ref="I32"/>
    <hyperlink r:id="rId31" ref="K32"/>
    <hyperlink r:id="rId32" ref="I33"/>
    <hyperlink r:id="rId33" ref="K33"/>
    <hyperlink r:id="rId34" ref="I34"/>
    <hyperlink r:id="rId35" ref="K34"/>
    <hyperlink r:id="rId36" ref="L34"/>
    <hyperlink r:id="rId37" ref="I39"/>
    <hyperlink r:id="rId38" ref="K39"/>
    <hyperlink r:id="rId39" ref="I45"/>
    <hyperlink r:id="rId40" ref="K45"/>
    <hyperlink r:id="rId41" ref="I47"/>
    <hyperlink r:id="rId42" ref="J47"/>
    <hyperlink r:id="rId43" ref="K47"/>
    <hyperlink r:id="rId44" ref="I48"/>
    <hyperlink r:id="rId45" ref="J48"/>
    <hyperlink r:id="rId46" ref="K48"/>
    <hyperlink r:id="rId47" ref="L48"/>
    <hyperlink r:id="rId48" ref="I49"/>
    <hyperlink r:id="rId49" ref="J49"/>
    <hyperlink r:id="rId50" ref="K49"/>
    <hyperlink r:id="rId51" ref="L49"/>
    <hyperlink r:id="rId52" ref="I56"/>
    <hyperlink r:id="rId53" ref="K56"/>
    <hyperlink r:id="rId54" ref="I57"/>
    <hyperlink r:id="rId55" ref="K57"/>
    <hyperlink r:id="rId56" ref="I58"/>
    <hyperlink r:id="rId57" ref="K58"/>
    <hyperlink r:id="rId58" ref="I60"/>
    <hyperlink r:id="rId59" ref="I61"/>
  </hyperlinks>
  <drawing r:id="rId60"/>
</worksheet>
</file>